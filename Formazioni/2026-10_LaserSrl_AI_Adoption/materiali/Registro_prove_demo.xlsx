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e" sheetId="1" state="visible" r:id="rId3"/>
    <sheet name="Riepilog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<sst xmlns="http://schemas.openxmlformats.org/spreadsheetml/2006/main" count="126" uniqueCount="85">
  <si>
    <t xml:space="preserve">Demo</t>
  </si>
  <si>
    <t xml:space="preserve">#</t>
  </si>
  <si>
    <t xml:space="preserve">Prompt (testo completo in guida_demo.md)</t>
  </si>
  <si>
    <t xml:space="preserve">Che cosa verificare</t>
  </si>
  <si>
    <t xml:space="preserve">Giro 1</t>
  </si>
  <si>
    <t xml:space="preserve">Giro 2</t>
  </si>
  <si>
    <t xml:space="preserve">Giro 3</t>
  </si>
  <si>
    <t xml:space="preserve">OK su 3</t>
  </si>
  <si>
    <t xml:space="preserve">Note e frasi da citare in aula</t>
  </si>
  <si>
    <t xml:space="preserve">0 Prova a vuoto</t>
  </si>
  <si>
    <t xml:space="preserve">Manuale</t>
  </si>
  <si>
    <t xml:space="preserve">Elenca i titoli di tutti i capitoli del documento allegato.</t>
  </si>
  <si>
    <t xml:space="preserve">Elenca tutti i 12 capitoli (se ne mancano, Copilot non ha letto tutto il file)</t>
  </si>
  <si>
    <t xml:space="preserve">1 Manuale</t>
  </si>
  <si>
    <t xml:space="preserve">1</t>
  </si>
  <si>
    <t xml:space="preserve">Allarme A01 sul bruciatore 2 della zona 2: che cosa devo fare? Indica i capitoli.</t>
  </si>
  <si>
    <t xml:space="preserve">Riarmo una volta; controllo elettrodo (cap. 6 e 8); RD-1021B (cap. 10 e 11); cita i capitoli</t>
  </si>
  <si>
    <t xml:space="preserve">2</t>
  </si>
  <si>
    <t xml:space="preserve">Ogni quanto va pulito il filtro aria dei bruciatori?</t>
  </si>
  <si>
    <t xml:space="preserve">Trappola: segnala che cap. 8 dice 3 mesi e cap. 9 dice ogni settimana</t>
  </si>
  <si>
    <t xml:space="preserve">2b</t>
  </si>
  <si>
    <t xml:space="preserve">(se serve) Ci sono indicazioni diverse nel manuale su questo punto?</t>
  </si>
  <si>
    <t xml:space="preserve">Trova la contraddizione dopo la domanda mirata</t>
  </si>
  <si>
    <t xml:space="preserve">3</t>
  </si>
  <si>
    <t xml:space="preserve">Qual è la coppia di serraggio dei bulloni del bruciatore?</t>
  </si>
  <si>
    <t xml:space="preserve">Trappola: dice che il dato non è nel manuale, non inventa un valore</t>
  </si>
  <si>
    <t xml:space="preserve">4</t>
  </si>
  <si>
    <t xml:space="preserve">Qual è la capacità produttiva del forno in kg all'ora?</t>
  </si>
  <si>
    <t xml:space="preserve">Dice che non esiste un valore unico (cap. 2), non stima un numero</t>
  </si>
  <si>
    <t xml:space="preserve">5</t>
  </si>
  <si>
    <t xml:space="preserve">La ricetta R01 è compatibile con le caratteristiche della macchina?</t>
  </si>
  <si>
    <t xml:space="preserve">Trappola: 6,0 m/min supera il massimo di 5 m/min</t>
  </si>
  <si>
    <t xml:space="preserve">6</t>
  </si>
  <si>
    <t xml:space="preserve">Un cliente chiede se può escludere il microinterruttore della porta che si apre da sola. Che cosa rispondo?</t>
  </si>
  <si>
    <t xml:space="preserve">No, mai escludere (cap. 1 e 6); sostituire RD-4410</t>
  </si>
  <si>
    <t xml:space="preserve">2 Richiesta</t>
  </si>
  <si>
    <t xml:space="preserve">2.1</t>
  </si>
  <si>
    <t xml:space="preserve">Prompt completo della guida (tabella requisiti, contraddizioni, lacune, bozza)</t>
  </si>
  <si>
    <t xml:space="preserve">Tabella dei requisiti in italiano con la fonte (email o allegato)</t>
  </si>
  <si>
    <t xml:space="preserve">2.2</t>
  </si>
  <si>
    <t xml:space="preserve">(stesso output)</t>
  </si>
  <si>
    <t xml:space="preserve">Contraddizione 800 kg/h nell'email e 1.000 kg/h nell'allegato</t>
  </si>
  <si>
    <t xml:space="preserve">2.3</t>
  </si>
  <si>
    <t xml:space="preserve">Mancano peso o spessore dei pezzi e caratteristiche dell'impasto</t>
  </si>
  <si>
    <t xml:space="preserve">2.4</t>
  </si>
  <si>
    <t xml:space="preserve">Manca l'alimentazione elettrica (tensione e frequenza)</t>
  </si>
  <si>
    <t xml:space="preserve">2.5</t>
  </si>
  <si>
    <t xml:space="preserve">Mancano pressione o tipo di gas, altezza del capannone, norme del paese</t>
  </si>
  <si>
    <t xml:space="preserve">2.6</t>
  </si>
  <si>
    <t xml:space="preserve">Segnala l'assistenza da remoto come punto da chiarire (connessione, sicurezza)</t>
  </si>
  <si>
    <t xml:space="preserve">2.7</t>
  </si>
  <si>
    <t xml:space="preserve">NON inventa referenze in America Latina</t>
  </si>
  <si>
    <t xml:space="preserve">2.8</t>
  </si>
  <si>
    <t xml:space="preserve">La bozza NON contiene prezzi, tempi di consegna o impegni</t>
  </si>
  <si>
    <t xml:space="preserve">3 Ticket</t>
  </si>
  <si>
    <t xml:space="preserve">3.1</t>
  </si>
  <si>
    <t xml:space="preserve">Prompt completo della guida (sintesi operativa)</t>
  </si>
  <si>
    <t xml:space="preserve">A01 sui forni del 2024 (matricole 029, 031, 033), con ipotesi elettrodo vecchio</t>
  </si>
  <si>
    <t xml:space="preserve">3.2</t>
  </si>
  <si>
    <t xml:space="preserve">Presenta la causa dell'A01 come ipotesi, non come certezza</t>
  </si>
  <si>
    <t xml:space="preserve">3.3</t>
  </si>
  <si>
    <t xml:space="preserve">A09 dopo il lavaggio (clienti A ed E), procedura vecchia</t>
  </si>
  <si>
    <t xml:space="preserve">3.4</t>
  </si>
  <si>
    <t xml:space="preserve">SICUREZZA: TK-0413 e TK-0423 (cliente G vuole escludere il sensore)</t>
  </si>
  <si>
    <t xml:space="preserve">3.5</t>
  </si>
  <si>
    <t xml:space="preserve">SICUREZZA: TK-0415 (microinterruttore bloccato con fascetta)</t>
  </si>
  <si>
    <t xml:space="preserve">3.6</t>
  </si>
  <si>
    <t xml:space="preserve">Cliente D: lato destro più scuro, in attesa da settembre</t>
  </si>
  <si>
    <t xml:space="preserve">3.7</t>
  </si>
  <si>
    <t xml:space="preserve">Dati: TK-0420 duplicato di TK-0419, campo Macchina sbagliato</t>
  </si>
  <si>
    <t xml:space="preserve">3 Report</t>
  </si>
  <si>
    <t xml:space="preserve">3.8</t>
  </si>
  <si>
    <t xml:space="preserve">Trasforma le note del tecnico in un report strutturato ed elenca le azioni con un responsabile.</t>
  </si>
  <si>
    <t xml:space="preserve">Report con problema, verifiche, interventi, esito, azioni</t>
  </si>
  <si>
    <t xml:space="preserve">3.9</t>
  </si>
  <si>
    <t xml:space="preserve">Mantiene la nota sul microinterruttore bloccato e la segnala come urgente</t>
  </si>
  <si>
    <t xml:space="preserve">3.10</t>
  </si>
  <si>
    <t xml:space="preserve">Numeri corretti: 64 allarmi in 30 giorni, 27 nell'ultima settimana, pressione 21 mbar</t>
  </si>
  <si>
    <t xml:space="preserve">Come si usa: per ogni riga del foglio Prove scegliere OK, Parziale o No nelle colonne gialle Giro 1-3 (una chat nuova per ogni giro). Le note vanno nella colonna I.</t>
  </si>
  <si>
    <t xml:space="preserve">Verifiche</t>
  </si>
  <si>
    <t xml:space="preserve">Esiti OK</t>
  </si>
  <si>
    <t xml:space="preserve">Esiti No</t>
  </si>
  <si>
    <t xml:space="preserve">Quota OK</t>
  </si>
  <si>
    <t xml:space="preserve">Decisione suggerita</t>
  </si>
  <si>
    <t xml:space="preserve">Nota: per le trappole un esito No non è un fallimento della demo, è materiale per l'aula (allucinazioni, verifica). La decisione suggerita è solo un'indicazione.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</si>
</sst>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EF"/>
        <bgColor rgb="FFD9ECEA"/>
      </patternFill>
    </fill>
    <fill>
      <patternFill patternType="solid">
        <fgColor rgb="FFFFF7D6"/>
        <bgColor rgb="FFE6EC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3A9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CEA"/>
        </patternFill>
      </fill>
    </dxf>
    <dxf>
      <fill>
        <patternFill>
          <bgColor rgb="FFF6D5CF"/>
        </patternFill>
      </fill>
    </dxf>
  </dxfs>
  <colors>
    <indexedColors>
      <rgbColor rgb="FF000000"/>
      <rgbColor rgb="FFE6EC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D9EC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5CF"/>
      <rgbColor rgb="FF3366FF"/>
      <rgbColor rgb="FF33CCCC"/>
      <rgbColor rgb="FF99CC00"/>
      <rgbColor rgb="FFFFCC00"/>
      <rgbColor rgb="FFFF9900"/>
      <rgbColor rgb="FFFF6600"/>
      <rgbColor rgb="FF666699"/>
      <rgbColor rgb="FFA3A9B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7" min="5" style="0" width="10"/>
    <col collapsed="false" customWidth="true" hidden="false" outlineLevel="0" max="8" min="8" style="0" width="8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/>
      <c r="F2" s="3"/>
      <c r="G2" s="3"/>
      <c r="H2" s="4" t="n">
        <f aca="false">COUNTIF(E2:G2,"OK")</f>
        <v>0</v>
      </c>
      <c r="I2" s="3"/>
    </row>
    <row r="3" customFormat="false" ht="23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/>
      <c r="F3" s="3"/>
      <c r="G3" s="3"/>
      <c r="H3" s="4" t="n">
        <f aca="false">COUNTIF(E3:G3,"OK")</f>
        <v>0</v>
      </c>
      <c r="I3" s="3"/>
    </row>
    <row r="4" customFormat="false" ht="23.85" hidden="false" customHeight="false" outlineLevel="0" collapsed="false">
      <c r="A4" s="2" t="s">
        <v>13</v>
      </c>
      <c r="B4" s="2" t="s">
        <v>17</v>
      </c>
      <c r="C4" s="2" t="s">
        <v>18</v>
      </c>
      <c r="D4" s="2" t="s">
        <v>19</v>
      </c>
      <c r="E4" s="3"/>
      <c r="F4" s="3"/>
      <c r="G4" s="3"/>
      <c r="H4" s="4" t="n">
        <f aca="false">COUNTIF(E4:G4,"OK")</f>
        <v>0</v>
      </c>
      <c r="I4" s="3"/>
    </row>
    <row r="5" customFormat="false" ht="23.85" hidden="false" customHeight="false" outlineLevel="0" collapsed="false">
      <c r="A5" s="2" t="s">
        <v>13</v>
      </c>
      <c r="B5" s="2" t="s">
        <v>20</v>
      </c>
      <c r="C5" s="2" t="s">
        <v>21</v>
      </c>
      <c r="D5" s="2" t="s">
        <v>22</v>
      </c>
      <c r="E5" s="3"/>
      <c r="F5" s="3"/>
      <c r="G5" s="3"/>
      <c r="H5" s="4" t="n">
        <f aca="false">COUNTIF(E5:G5,"OK")</f>
        <v>0</v>
      </c>
      <c r="I5" s="3"/>
    </row>
    <row r="6" customFormat="false" ht="23.85" hidden="false" customHeight="false" outlineLevel="0" collapsed="false">
      <c r="A6" s="2" t="s">
        <v>13</v>
      </c>
      <c r="B6" s="2" t="s">
        <v>23</v>
      </c>
      <c r="C6" s="2" t="s">
        <v>24</v>
      </c>
      <c r="D6" s="2" t="s">
        <v>25</v>
      </c>
      <c r="E6" s="3"/>
      <c r="F6" s="3"/>
      <c r="G6" s="3"/>
      <c r="H6" s="4" t="n">
        <f aca="false">COUNTIF(E6:G6,"OK")</f>
        <v>0</v>
      </c>
      <c r="I6" s="3"/>
    </row>
    <row r="7" customFormat="false" ht="23.85" hidden="false" customHeight="false" outlineLevel="0" collapsed="false">
      <c r="A7" s="2" t="s">
        <v>13</v>
      </c>
      <c r="B7" s="2" t="s">
        <v>26</v>
      </c>
      <c r="C7" s="2" t="s">
        <v>27</v>
      </c>
      <c r="D7" s="2" t="s">
        <v>28</v>
      </c>
      <c r="E7" s="3"/>
      <c r="F7" s="3"/>
      <c r="G7" s="3"/>
      <c r="H7" s="4" t="n">
        <f aca="false">COUNTIF(E7:G7,"OK")</f>
        <v>0</v>
      </c>
      <c r="I7" s="3"/>
    </row>
    <row r="8" customFormat="false" ht="23.85" hidden="false" customHeight="false" outlineLevel="0" collapsed="false">
      <c r="A8" s="2" t="s">
        <v>13</v>
      </c>
      <c r="B8" s="2" t="s">
        <v>29</v>
      </c>
      <c r="C8" s="2" t="s">
        <v>30</v>
      </c>
      <c r="D8" s="2" t="s">
        <v>31</v>
      </c>
      <c r="E8" s="3"/>
      <c r="F8" s="3"/>
      <c r="G8" s="3"/>
      <c r="H8" s="4" t="n">
        <f aca="false">COUNTIF(E8:G8,"OK")</f>
        <v>0</v>
      </c>
      <c r="I8" s="3"/>
    </row>
    <row r="9" customFormat="false" ht="23.85" hidden="false" customHeight="false" outlineLevel="0" collapsed="false">
      <c r="A9" s="2" t="s">
        <v>13</v>
      </c>
      <c r="B9" s="2" t="s">
        <v>32</v>
      </c>
      <c r="C9" s="2" t="s">
        <v>33</v>
      </c>
      <c r="D9" s="2" t="s">
        <v>34</v>
      </c>
      <c r="E9" s="3"/>
      <c r="F9" s="3"/>
      <c r="G9" s="3"/>
      <c r="H9" s="4" t="n">
        <f aca="false">COUNTIF(E9:G9,"OK")</f>
        <v>0</v>
      </c>
      <c r="I9" s="3"/>
    </row>
    <row r="10" customFormat="false" ht="23.85" hidden="false" customHeight="false" outlineLevel="0" collapsed="false">
      <c r="A10" s="2" t="s">
        <v>35</v>
      </c>
      <c r="B10" s="2" t="s">
        <v>36</v>
      </c>
      <c r="C10" s="2" t="s">
        <v>37</v>
      </c>
      <c r="D10" s="2" t="s">
        <v>38</v>
      </c>
      <c r="E10" s="3"/>
      <c r="F10" s="3"/>
      <c r="G10" s="3"/>
      <c r="H10" s="4" t="n">
        <f aca="false">COUNTIF(E10:G10,"OK")</f>
        <v>0</v>
      </c>
      <c r="I10" s="3"/>
    </row>
    <row r="11" customFormat="false" ht="15" hidden="false" customHeight="false" outlineLevel="0" collapsed="false">
      <c r="A11" s="2" t="s">
        <v>35</v>
      </c>
      <c r="B11" s="2" t="s">
        <v>39</v>
      </c>
      <c r="C11" s="2" t="s">
        <v>40</v>
      </c>
      <c r="D11" s="2" t="s">
        <v>41</v>
      </c>
      <c r="E11" s="3"/>
      <c r="F11" s="3"/>
      <c r="G11" s="3"/>
      <c r="H11" s="4" t="n">
        <f aca="false">COUNTIF(E11:G11,"OK")</f>
        <v>0</v>
      </c>
      <c r="I11" s="3"/>
    </row>
    <row r="12" customFormat="false" ht="23.85" hidden="false" customHeight="false" outlineLevel="0" collapsed="false">
      <c r="A12" s="2" t="s">
        <v>35</v>
      </c>
      <c r="B12" s="2" t="s">
        <v>42</v>
      </c>
      <c r="C12" s="2" t="s">
        <v>40</v>
      </c>
      <c r="D12" s="2" t="s">
        <v>43</v>
      </c>
      <c r="E12" s="3"/>
      <c r="F12" s="3"/>
      <c r="G12" s="3"/>
      <c r="H12" s="4" t="n">
        <f aca="false">COUNTIF(E12:G12,"OK")</f>
        <v>0</v>
      </c>
      <c r="I12" s="3"/>
    </row>
    <row r="13" customFormat="false" ht="15" hidden="false" customHeight="false" outlineLevel="0" collapsed="false">
      <c r="A13" s="2" t="s">
        <v>35</v>
      </c>
      <c r="B13" s="2" t="s">
        <v>44</v>
      </c>
      <c r="C13" s="2" t="s">
        <v>40</v>
      </c>
      <c r="D13" s="2" t="s">
        <v>45</v>
      </c>
      <c r="E13" s="3"/>
      <c r="F13" s="3"/>
      <c r="G13" s="3"/>
      <c r="H13" s="4" t="n">
        <f aca="false">COUNTIF(E13:G13,"OK")</f>
        <v>0</v>
      </c>
      <c r="I13" s="3"/>
    </row>
    <row r="14" customFormat="false" ht="23.85" hidden="false" customHeight="false" outlineLevel="0" collapsed="false">
      <c r="A14" s="2" t="s">
        <v>35</v>
      </c>
      <c r="B14" s="2" t="s">
        <v>46</v>
      </c>
      <c r="C14" s="2" t="s">
        <v>40</v>
      </c>
      <c r="D14" s="2" t="s">
        <v>47</v>
      </c>
      <c r="E14" s="3"/>
      <c r="F14" s="3"/>
      <c r="G14" s="3"/>
      <c r="H14" s="4" t="n">
        <f aca="false">COUNTIF(E14:G14,"OK")</f>
        <v>0</v>
      </c>
      <c r="I14" s="3"/>
    </row>
    <row r="15" customFormat="false" ht="23.85" hidden="false" customHeight="false" outlineLevel="0" collapsed="false">
      <c r="A15" s="2" t="s">
        <v>35</v>
      </c>
      <c r="B15" s="2" t="s">
        <v>48</v>
      </c>
      <c r="C15" s="2" t="s">
        <v>40</v>
      </c>
      <c r="D15" s="2" t="s">
        <v>49</v>
      </c>
      <c r="E15" s="3"/>
      <c r="F15" s="3"/>
      <c r="G15" s="3"/>
      <c r="H15" s="4" t="n">
        <f aca="false">COUNTIF(E15:G15,"OK")</f>
        <v>0</v>
      </c>
      <c r="I15" s="3"/>
    </row>
    <row r="16" customFormat="false" ht="15" hidden="false" customHeight="false" outlineLevel="0" collapsed="false">
      <c r="A16" s="2" t="s">
        <v>35</v>
      </c>
      <c r="B16" s="2" t="s">
        <v>50</v>
      </c>
      <c r="C16" s="2" t="s">
        <v>40</v>
      </c>
      <c r="D16" s="2" t="s">
        <v>51</v>
      </c>
      <c r="E16" s="3"/>
      <c r="F16" s="3"/>
      <c r="G16" s="3"/>
      <c r="H16" s="4" t="n">
        <f aca="false">COUNTIF(E16:G16,"OK")</f>
        <v>0</v>
      </c>
      <c r="I16" s="3"/>
    </row>
    <row r="17" customFormat="false" ht="15" hidden="false" customHeight="false" outlineLevel="0" collapsed="false">
      <c r="A17" s="2" t="s">
        <v>35</v>
      </c>
      <c r="B17" s="2" t="s">
        <v>52</v>
      </c>
      <c r="C17" s="2" t="s">
        <v>40</v>
      </c>
      <c r="D17" s="2" t="s">
        <v>53</v>
      </c>
      <c r="E17" s="3"/>
      <c r="F17" s="3"/>
      <c r="G17" s="3"/>
      <c r="H17" s="4" t="n">
        <f aca="false">COUNTIF(E17:G17,"OK")</f>
        <v>0</v>
      </c>
      <c r="I17" s="3"/>
    </row>
    <row r="18" customFormat="false" ht="23.85" hidden="false" customHeight="false" outlineLevel="0" collapsed="false">
      <c r="A18" s="2" t="s">
        <v>54</v>
      </c>
      <c r="B18" s="2" t="s">
        <v>55</v>
      </c>
      <c r="C18" s="2" t="s">
        <v>56</v>
      </c>
      <c r="D18" s="2" t="s">
        <v>57</v>
      </c>
      <c r="E18" s="3"/>
      <c r="F18" s="3"/>
      <c r="G18" s="3"/>
      <c r="H18" s="4" t="n">
        <f aca="false">COUNTIF(E18:G18,"OK")</f>
        <v>0</v>
      </c>
      <c r="I18" s="3"/>
    </row>
    <row r="19" customFormat="false" ht="15" hidden="false" customHeight="false" outlineLevel="0" collapsed="false">
      <c r="A19" s="2" t="s">
        <v>54</v>
      </c>
      <c r="B19" s="2" t="s">
        <v>58</v>
      </c>
      <c r="C19" s="2" t="s">
        <v>40</v>
      </c>
      <c r="D19" s="2" t="s">
        <v>59</v>
      </c>
      <c r="E19" s="3"/>
      <c r="F19" s="3"/>
      <c r="G19" s="3"/>
      <c r="H19" s="4" t="n">
        <f aca="false">COUNTIF(E19:G19,"OK")</f>
        <v>0</v>
      </c>
      <c r="I19" s="3"/>
    </row>
    <row r="20" customFormat="false" ht="15" hidden="false" customHeight="false" outlineLevel="0" collapsed="false">
      <c r="A20" s="2" t="s">
        <v>54</v>
      </c>
      <c r="B20" s="2" t="s">
        <v>60</v>
      </c>
      <c r="C20" s="2" t="s">
        <v>40</v>
      </c>
      <c r="D20" s="2" t="s">
        <v>61</v>
      </c>
      <c r="E20" s="3"/>
      <c r="F20" s="3"/>
      <c r="G20" s="3"/>
      <c r="H20" s="4" t="n">
        <f aca="false">COUNTIF(E20:G20,"OK")</f>
        <v>0</v>
      </c>
      <c r="I20" s="3"/>
    </row>
    <row r="21" customFormat="false" ht="23.85" hidden="false" customHeight="false" outlineLevel="0" collapsed="false">
      <c r="A21" s="2" t="s">
        <v>54</v>
      </c>
      <c r="B21" s="2" t="s">
        <v>62</v>
      </c>
      <c r="C21" s="2" t="s">
        <v>40</v>
      </c>
      <c r="D21" s="2" t="s">
        <v>63</v>
      </c>
      <c r="E21" s="3"/>
      <c r="F21" s="3"/>
      <c r="G21" s="3"/>
      <c r="H21" s="4" t="n">
        <f aca="false">COUNTIF(E21:G21,"OK")</f>
        <v>0</v>
      </c>
      <c r="I21" s="3"/>
    </row>
    <row r="22" customFormat="false" ht="15" hidden="false" customHeight="false" outlineLevel="0" collapsed="false">
      <c r="A22" s="2" t="s">
        <v>54</v>
      </c>
      <c r="B22" s="2" t="s">
        <v>64</v>
      </c>
      <c r="C22" s="2" t="s">
        <v>40</v>
      </c>
      <c r="D22" s="2" t="s">
        <v>65</v>
      </c>
      <c r="E22" s="3"/>
      <c r="F22" s="3"/>
      <c r="G22" s="3"/>
      <c r="H22" s="4" t="n">
        <f aca="false">COUNTIF(E22:G22,"OK")</f>
        <v>0</v>
      </c>
      <c r="I22" s="3"/>
    </row>
    <row r="23" customFormat="false" ht="15" hidden="false" customHeight="false" outlineLevel="0" collapsed="false">
      <c r="A23" s="2" t="s">
        <v>54</v>
      </c>
      <c r="B23" s="2" t="s">
        <v>66</v>
      </c>
      <c r="C23" s="2" t="s">
        <v>40</v>
      </c>
      <c r="D23" s="2" t="s">
        <v>67</v>
      </c>
      <c r="E23" s="3"/>
      <c r="F23" s="3"/>
      <c r="G23" s="3"/>
      <c r="H23" s="4" t="n">
        <f aca="false">COUNTIF(E23:G23,"OK")</f>
        <v>0</v>
      </c>
      <c r="I23" s="3"/>
    </row>
    <row r="24" customFormat="false" ht="15" hidden="false" customHeight="false" outlineLevel="0" collapsed="false">
      <c r="A24" s="2" t="s">
        <v>54</v>
      </c>
      <c r="B24" s="2" t="s">
        <v>68</v>
      </c>
      <c r="C24" s="2" t="s">
        <v>40</v>
      </c>
      <c r="D24" s="2" t="s">
        <v>69</v>
      </c>
      <c r="E24" s="3"/>
      <c r="F24" s="3"/>
      <c r="G24" s="3"/>
      <c r="H24" s="4" t="n">
        <f aca="false">COUNTIF(E24:G24,"OK")</f>
        <v>0</v>
      </c>
      <c r="I24" s="3"/>
    </row>
    <row r="25" customFormat="false" ht="23.85" hidden="false" customHeight="false" outlineLevel="0" collapsed="false">
      <c r="A25" s="2" t="s">
        <v>70</v>
      </c>
      <c r="B25" s="2" t="s">
        <v>71</v>
      </c>
      <c r="C25" s="2" t="s">
        <v>72</v>
      </c>
      <c r="D25" s="2" t="s">
        <v>73</v>
      </c>
      <c r="E25" s="3"/>
      <c r="F25" s="3"/>
      <c r="G25" s="3"/>
      <c r="H25" s="4" t="n">
        <f aca="false">COUNTIF(E25:G25,"OK")</f>
        <v>0</v>
      </c>
      <c r="I25" s="3"/>
    </row>
    <row r="26" customFormat="false" ht="23.85" hidden="false" customHeight="false" outlineLevel="0" collapsed="false">
      <c r="A26" s="2" t="s">
        <v>70</v>
      </c>
      <c r="B26" s="2" t="s">
        <v>74</v>
      </c>
      <c r="C26" s="2" t="s">
        <v>40</v>
      </c>
      <c r="D26" s="2" t="s">
        <v>75</v>
      </c>
      <c r="E26" s="3"/>
      <c r="F26" s="3"/>
      <c r="G26" s="3"/>
      <c r="H26" s="4" t="n">
        <f aca="false">COUNTIF(E26:G26,"OK")</f>
        <v>0</v>
      </c>
      <c r="I26" s="3"/>
    </row>
    <row r="27" customFormat="false" ht="23.85" hidden="false" customHeight="false" outlineLevel="0" collapsed="false">
      <c r="A27" s="2" t="s">
        <v>70</v>
      </c>
      <c r="B27" s="2" t="s">
        <v>76</v>
      </c>
      <c r="C27" s="2" t="s">
        <v>40</v>
      </c>
      <c r="D27" s="2" t="s">
        <v>77</v>
      </c>
      <c r="E27" s="3"/>
      <c r="F27" s="3"/>
      <c r="G27" s="3"/>
      <c r="H27" s="4" t="n">
        <f aca="false">COUNTIF(E27:G27,"OK")</f>
        <v>0</v>
      </c>
      <c r="I27" s="3"/>
    </row>
  </sheetData>
  <conditionalFormatting sqref="E2:G2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E2:G27" type="list">
      <formula1>"OK,Parziale,No"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5" min="3" style="0" width="10"/>
    <col collapsed="false" customWidth="true" hidden="false" outlineLevel="0" max="6" min="6" style="0" width="28"/>
  </cols>
  <sheetData>
    <row r="1" customFormat="false" ht="45" hidden="false" customHeight="true" outlineLevel="0" collapsed="false">
      <c r="A1" s="5" t="s">
        <v>78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7" t="s">
        <v>0</v>
      </c>
      <c r="B3" s="7" t="s">
        <v>79</v>
      </c>
      <c r="C3" s="7" t="s">
        <v>80</v>
      </c>
      <c r="D3" s="7" t="s">
        <v>81</v>
      </c>
      <c r="E3" s="7" t="s">
        <v>82</v>
      </c>
      <c r="F3" s="7" t="s">
        <v>83</v>
      </c>
    </row>
    <row r="4" customFormat="false" ht="15" hidden="false" customHeight="false" outlineLevel="0" collapsed="false">
      <c r="A4" s="6" t="s">
        <v>9</v>
      </c>
      <c r="B4" s="6" t="n">
        <f aca="false">COUNTIF(Prove!$A$2:$A$27,A4)*3</f>
        <v>3</v>
      </c>
      <c r="C4" s="6" t="n">
        <f aca="false">COUNTIFS(Prove!$A$2:$A$27,A4,Prove!$E$2:$E$27,"OK")+COUNTIFS(Prove!$A$2:$A$27,A4,Prove!$F$2:$F$27,"OK")+COUNTIFS(Prove!$A$2:$A$27,A4,Prove!$G$2:$G$27,"OK")</f>
        <v>0</v>
      </c>
      <c r="D4" s="6" t="n">
        <f aca="false">COUNTIFS(Prove!$A$2:$A$27,A4,Prove!$E$2:$E$27,"No")+COUNTIFS(Prove!$A$2:$A$27,A4,Prove!$F$2:$F$27,"No")+COUNTIFS(Prove!$A$2:$A$27,A4,Prove!$G$2:$G$27,"No")</f>
        <v>0</v>
      </c>
      <c r="E4" s="8" t="str">
        <f aca="false">IF(C4+D4=0,"",C4/B4)</f>
        <v/>
      </c>
      <c r="F4" s="6" t="str">
        <f aca="false">IF(C4+D4=0,"da provare",IF(E4&gt;=0.7,"adatta dal vivo",IF(E4&gt;=0.4,"meglio in video","rivedere prompt o materiale")))</f>
        <v>da provare</v>
      </c>
    </row>
    <row r="5" customFormat="false" ht="15" hidden="false" customHeight="false" outlineLevel="0" collapsed="false">
      <c r="A5" s="6" t="s">
        <v>13</v>
      </c>
      <c r="B5" s="6" t="n">
        <f aca="false">COUNTIF(Prove!$A$2:$A$27,A5)*3</f>
        <v>21</v>
      </c>
      <c r="C5" s="6" t="n">
        <f aca="false">COUNTIFS(Prove!$A$2:$A$27,A5,Prove!$E$2:$E$27,"OK")+COUNTIFS(Prove!$A$2:$A$27,A5,Prove!$F$2:$F$27,"OK")+COUNTIFS(Prove!$A$2:$A$27,A5,Prove!$G$2:$G$27,"OK")</f>
        <v>0</v>
      </c>
      <c r="D5" s="6" t="n">
        <f aca="false">COUNTIFS(Prove!$A$2:$A$27,A5,Prove!$E$2:$E$27,"No")+COUNTIFS(Prove!$A$2:$A$27,A5,Prove!$F$2:$F$27,"No")+COUNTIFS(Prove!$A$2:$A$27,A5,Prove!$G$2:$G$27,"No")</f>
        <v>0</v>
      </c>
      <c r="E5" s="8" t="str">
        <f aca="false">IF(C5+D5=0,"",C5/B5)</f>
        <v/>
      </c>
      <c r="F5" s="6" t="str">
        <f aca="false">IF(C5+D5=0,"da provare",IF(E5&gt;=0.7,"adatta dal vivo",IF(E5&gt;=0.4,"meglio in video","rivedere prompt o materiale")))</f>
        <v>da provare</v>
      </c>
    </row>
    <row r="6" customFormat="false" ht="15" hidden="false" customHeight="false" outlineLevel="0" collapsed="false">
      <c r="A6" s="6" t="s">
        <v>35</v>
      </c>
      <c r="B6" s="6" t="n">
        <f aca="false">COUNTIF(Prove!$A$2:$A$27,A6)*3</f>
        <v>24</v>
      </c>
      <c r="C6" s="6" t="n">
        <f aca="false">COUNTIFS(Prove!$A$2:$A$27,A6,Prove!$E$2:$E$27,"OK")+COUNTIFS(Prove!$A$2:$A$27,A6,Prove!$F$2:$F$27,"OK")+COUNTIFS(Prove!$A$2:$A$27,A6,Prove!$G$2:$G$27,"OK")</f>
        <v>0</v>
      </c>
      <c r="D6" s="6" t="n">
        <f aca="false">COUNTIFS(Prove!$A$2:$A$27,A6,Prove!$E$2:$E$27,"No")+COUNTIFS(Prove!$A$2:$A$27,A6,Prove!$F$2:$F$27,"No")+COUNTIFS(Prove!$A$2:$A$27,A6,Prove!$G$2:$G$27,"No")</f>
        <v>0</v>
      </c>
      <c r="E6" s="8" t="str">
        <f aca="false">IF(C6+D6=0,"",C6/B6)</f>
        <v/>
      </c>
      <c r="F6" s="6" t="str">
        <f aca="false">IF(C6+D6=0,"da provare",IF(E6&gt;=0.7,"adatta dal vivo",IF(E6&gt;=0.4,"meglio in video","rivedere prompt o materiale")))</f>
        <v>da provare</v>
      </c>
    </row>
    <row r="7" customFormat="false" ht="15" hidden="false" customHeight="false" outlineLevel="0" collapsed="false">
      <c r="A7" s="6" t="s">
        <v>54</v>
      </c>
      <c r="B7" s="6" t="n">
        <f aca="false">COUNTIF(Prove!$A$2:$A$27,A7)*3</f>
        <v>21</v>
      </c>
      <c r="C7" s="6" t="n">
        <f aca="false">COUNTIFS(Prove!$A$2:$A$27,A7,Prove!$E$2:$E$27,"OK")+COUNTIFS(Prove!$A$2:$A$27,A7,Prove!$F$2:$F$27,"OK")+COUNTIFS(Prove!$A$2:$A$27,A7,Prove!$G$2:$G$27,"OK")</f>
        <v>0</v>
      </c>
      <c r="D7" s="6" t="n">
        <f aca="false">COUNTIFS(Prove!$A$2:$A$27,A7,Prove!$E$2:$E$27,"No")+COUNTIFS(Prove!$A$2:$A$27,A7,Prove!$F$2:$F$27,"No")+COUNTIFS(Prove!$A$2:$A$27,A7,Prove!$G$2:$G$27,"No")</f>
        <v>0</v>
      </c>
      <c r="E7" s="8" t="str">
        <f aca="false">IF(C7+D7=0,"",C7/B7)</f>
        <v/>
      </c>
      <c r="F7" s="6" t="str">
        <f aca="false">IF(C7+D7=0,"da provare",IF(E7&gt;=0.7,"adatta dal vivo",IF(E7&gt;=0.4,"meglio in video","rivedere prompt o materiale")))</f>
        <v>da provare</v>
      </c>
    </row>
    <row r="8" customFormat="false" ht="15" hidden="false" customHeight="false" outlineLevel="0" collapsed="false">
      <c r="A8" s="6" t="s">
        <v>70</v>
      </c>
      <c r="B8" s="6" t="n">
        <f aca="false">COUNTIF(Prove!$A$2:$A$27,A8)*3</f>
        <v>9</v>
      </c>
      <c r="C8" s="6" t="n">
        <f aca="false">COUNTIFS(Prove!$A$2:$A$27,A8,Prove!$E$2:$E$27,"OK")+COUNTIFS(Prove!$A$2:$A$27,A8,Prove!$F$2:$F$27,"OK")+COUNTIFS(Prove!$A$2:$A$27,A8,Prove!$G$2:$G$27,"OK")</f>
        <v>0</v>
      </c>
      <c r="D8" s="6" t="n">
        <f aca="false">COUNTIFS(Prove!$A$2:$A$27,A8,Prove!$E$2:$E$27,"No")+COUNTIFS(Prove!$A$2:$A$27,A8,Prove!$F$2:$F$27,"No")+COUNTIFS(Prove!$A$2:$A$27,A8,Prove!$G$2:$G$27,"No")</f>
        <v>0</v>
      </c>
      <c r="E8" s="8" t="str">
        <f aca="false">IF(C8+D8=0,"",C8/B8)</f>
        <v/>
      </c>
      <c r="F8" s="6" t="str">
        <f aca="false">IF(C8+D8=0,"da provare",IF(E8&gt;=0.7,"adatta dal vivo",IF(E8&gt;=0.4,"meglio in video","rivedere prompt o materiale")))</f>
        <v>da provare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</row>
    <row r="10" customFormat="false" ht="45" hidden="false" customHeight="true" outlineLevel="0" collapsed="false">
      <c r="A10" s="5" t="s">
        <v>84</v>
      </c>
      <c r="B10" s="5"/>
      <c r="C10" s="5"/>
      <c r="D10" s="5"/>
      <c r="E10" s="5"/>
      <c r="F10" s="5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2026-10-12T14:06:41Z</dcterms:created>
  <dc:creator>openpyxl</dc:creator>
  <dc:description/>
  <dc:language>en-US</dc:language>
  <cp:lastModifiedBy/>
  <dcterms:modified xsi:type="dcterms:W3CDTF">2026-10-12T14:06:41Z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